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hidePivotFieldList="1" defaultThemeVersion="166925"/>
  <xr:revisionPtr revIDLastSave="245" documentId="11_9248B46DC1CBB2E3ED7FF6F9903E8C1851038383" xr6:coauthVersionLast="47" xr6:coauthVersionMax="47" xr10:uidLastSave="{DF21803E-C7C8-4E87-86C4-FEE42F824B1E}"/>
  <bookViews>
    <workbookView xWindow="240" yWindow="105" windowWidth="14805" windowHeight="8010" firstSheet="1" xr2:uid="{00000000-000D-0000-FFFF-FFFF00000000}"/>
  </bookViews>
  <sheets>
    <sheet name="Hoja4" sheetId="4" r:id="rId1"/>
    <sheet name="Hoja1" sheetId="1" r:id="rId2"/>
    <sheet name="Hoja2" sheetId="2" r:id="rId3"/>
    <sheet name="Hoja3" sheetId="3" r:id="rId4"/>
  </sheets>
  <calcPr calcId="191028"/>
  <pivotCaches>
    <pivotCache cacheId="111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2" i="1"/>
</calcChain>
</file>

<file path=xl/sharedStrings.xml><?xml version="1.0" encoding="utf-8"?>
<sst xmlns="http://schemas.openxmlformats.org/spreadsheetml/2006/main" count="85" uniqueCount="37">
  <si>
    <t>OC_ID</t>
  </si>
  <si>
    <t>Fecha_OC</t>
  </si>
  <si>
    <t>Proveedor</t>
  </si>
  <si>
    <t>Producto</t>
  </si>
  <si>
    <t>Categoria</t>
  </si>
  <si>
    <t>Cantidad</t>
  </si>
  <si>
    <t>Costo_Unit</t>
  </si>
  <si>
    <t>Fecha_Entrega</t>
  </si>
  <si>
    <t>Estado</t>
  </si>
  <si>
    <t>OC001</t>
  </si>
  <si>
    <t>Proveedor ABC</t>
  </si>
  <si>
    <t>Mouse USB</t>
  </si>
  <si>
    <t>Periféricos</t>
  </si>
  <si>
    <t>Entregado</t>
  </si>
  <si>
    <t>OC002</t>
  </si>
  <si>
    <t>proveedor abc</t>
  </si>
  <si>
    <t>Teclado</t>
  </si>
  <si>
    <t>Retrasado</t>
  </si>
  <si>
    <t>OC003</t>
  </si>
  <si>
    <t>Proveedor XYZ</t>
  </si>
  <si>
    <t>Monitor 24"</t>
  </si>
  <si>
    <t>Monitores</t>
  </si>
  <si>
    <t>OC004</t>
  </si>
  <si>
    <t>Proveedor 123</t>
  </si>
  <si>
    <t>Laptop</t>
  </si>
  <si>
    <t>Computo</t>
  </si>
  <si>
    <t>Cancelado</t>
  </si>
  <si>
    <t>Costo total</t>
  </si>
  <si>
    <t>(Varios elementos)</t>
  </si>
  <si>
    <t>(Todas)</t>
  </si>
  <si>
    <t>Suma de Costo total</t>
  </si>
  <si>
    <t>Cuenta de OC_ID</t>
  </si>
  <si>
    <t>Total general</t>
  </si>
  <si>
    <t>Nota: Se usan solo los proveedores entregados y pendientes, ya que son ordenes que se estan facturando</t>
  </si>
  <si>
    <t>Nota: No se tomo estado cancelado.</t>
  </si>
  <si>
    <t xml:space="preserve"> laEn la primera tabla podemos observar que el proveedor que más adquirimos productos es el proveedor XYZ con un total de 4000. En la segunda podemos observar que los pedidos entregados han fío dos Diferente podemos encontrar que hemos tenido un pedido retrasado y un pedido cancelado por último, podemos observar que el producto Que mas compramos son los monitores con un costo de 4000 cabe recalcar que no se tomó el pedido cancelado.</t>
  </si>
  <si>
    <t>En la primera gráfica podemos observar el costo total por proveedor. Podemos ver que el proveedor que más nos compramos o que más adquirimos productos es el proveedor XJZ. En la segunda gráfica podemos observar la fecha de pedido, fecha de entrega. Ahí podemos observar también información de qué pedidos se entregó que está retrasado o qué pedidos se canceló, además del proveedor Pon el cual dijimos este pedido gracias a esta gráfica podemos observar que el primer pedido que recibimos, que se pidió fue el proveedor ABC Y fue entregado en un corto lapso de tiempo seguido del mismo proveedor, obtuvimos un películo retrasado. Por último, tenemos un proveedor que el XYYZ tuvo también un pedido entregado con una fecha, digamos con una diferencia similar al pedido retrasado, pero el placer fue. En las cláusulas acordadas porque es un pedido entregador, no está marcado como retrasado y por último mostramos al proveedor 123,1 pedido cancelado y una gran diferencia en las fechas En la gráfica número 3. Podemos observar que la cantidad de producto entregado desde un 50% y con una diferencia igualitaria en medio cancelado y retrasado de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</si>
</sst>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charset val="1"/>
    </font>
    <font>
      <b/>
      <sz val="12"/>
      <color theme="1"/>
      <name val="Calibri"/>
      <scheme val="minor"/>
    </font>
    <font>
      <sz val="12"/>
      <color theme="1"/>
      <name val="Calibri"/>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5" xfId="0" applyFont="1" applyBorder="1" applyAlignment="1">
      <alignment readingOrder="1"/>
    </xf>
    <xf numFmtId="0" fontId="1" fillId="0" borderId="6" xfId="0" applyFont="1" applyBorder="1" applyAlignment="1">
      <alignment readingOrder="1"/>
    </xf>
    <xf numFmtId="0" fontId="2" fillId="0" borderId="0" xfId="0" applyFont="1"/>
    <xf numFmtId="0" fontId="3" fillId="0" borderId="0" xfId="0" applyFont="1"/>
    <xf numFmtId="14" fontId="3" fillId="0" borderId="0" xfId="0" applyNumberFormat="1" applyFont="1"/>
    <xf numFmtId="0" fontId="3" fillId="0" borderId="0" xfId="0" applyFont="1" applyAlignment="1">
      <alignment wrapText="1"/>
    </xf>
    <xf numFmtId="0" fontId="0" fillId="0" borderId="0" xfId="0" pivotButton="1"/>
    <xf numFmtId="0" fontId="0" fillId="0" borderId="0" xfId="0" applyNumberForma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4" fillId="0" borderId="0" xfId="0" applyFont="1"/>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2 Análisis de Compras y Proveedores.xlsx]Hoja2!TablaDinámica1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Total por Proveedor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Hoja2!$C$3</c:f>
              <c:strCache>
                <c:ptCount val="1"/>
                <c:pt idx="0">
                  <c:v>Total</c:v>
                </c:pt>
              </c:strCache>
            </c:strRef>
          </c:tx>
          <c:spPr>
            <a:solidFill>
              <a:srgbClr val="548235"/>
            </a:solidFill>
            <a:ln>
              <a:noFill/>
            </a:ln>
            <a:effectLst/>
          </c:spPr>
          <c:invertIfNegative val="0"/>
          <c:cat>
            <c:strRef>
              <c:f>Hoja2!$B$4:$B$6</c:f>
              <c:strCache>
                <c:ptCount val="2"/>
                <c:pt idx="0">
                  <c:v>Proveedor ABC</c:v>
                </c:pt>
                <c:pt idx="1">
                  <c:v>Proveedor XYZ</c:v>
                </c:pt>
              </c:strCache>
            </c:strRef>
          </c:cat>
          <c:val>
            <c:numRef>
              <c:f>Hoja2!$C$4:$C$6</c:f>
              <c:numCache>
                <c:formatCode>General</c:formatCode>
                <c:ptCount val="2"/>
                <c:pt idx="0">
                  <c:v>1750</c:v>
                </c:pt>
                <c:pt idx="1">
                  <c:v>4000</c:v>
                </c:pt>
              </c:numCache>
            </c:numRef>
          </c:val>
          <c:extLst>
            <c:ext xmlns:c16="http://schemas.microsoft.com/office/drawing/2014/chart" uri="{C3380CC4-5D6E-409C-BE32-E72D297353CC}">
              <c16:uniqueId val="{00000000-93FF-4F88-93A1-F1A674E0E21E}"/>
            </c:ext>
          </c:extLst>
        </c:ser>
        <c:dLbls>
          <c:showLegendKey val="0"/>
          <c:showVal val="0"/>
          <c:showCatName val="0"/>
          <c:showSerName val="0"/>
          <c:showPercent val="0"/>
          <c:showBubbleSize val="0"/>
        </c:dLbls>
        <c:gapWidth val="312"/>
        <c:overlap val="-27"/>
        <c:axId val="2112306696"/>
        <c:axId val="2112308744"/>
      </c:barChart>
      <c:catAx>
        <c:axId val="2112306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08744"/>
        <c:crosses val="autoZero"/>
        <c:auto val="1"/>
        <c:lblAlgn val="ctr"/>
        <c:lblOffset val="100"/>
        <c:noMultiLvlLbl val="0"/>
      </c:catAx>
      <c:valAx>
        <c:axId val="2112308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306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Fecha de Pedido vr Entrega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{"Ordenes"}</c:f>
              <c:strCache>
                <c:ptCount val="1"/>
                <c:pt idx="0">
                  <c:v>Ordenes</c:v>
                </c:pt>
              </c:strCache>
            </c:strRef>
          </c:tx>
          <c:spPr>
            <a:ln w="28575" cap="rnd">
              <a:solidFill>
                <a:srgbClr val="548235"/>
              </a:solidFill>
              <a:prstDash val="solid"/>
              <a:round/>
            </a:ln>
            <a:effectLst/>
          </c:spPr>
          <c:marker>
            <c:symbol val="circle"/>
            <c:size val="5"/>
            <c:spPr>
              <a:solidFill>
                <a:srgbClr val="548235"/>
              </a:solidFill>
              <a:ln w="9525">
                <a:solidFill>
                  <a:srgbClr val="548235"/>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Hoja1!C2:C5,Hoja1!I2:I5</c:f>
              <c:multiLvlStrCache>
                <c:ptCount val="4"/>
                <c:lvl>
                  <c:pt idx="0">
                    <c:v>Entregado</c:v>
                  </c:pt>
                  <c:pt idx="1">
                    <c:v>Retrasado</c:v>
                  </c:pt>
                  <c:pt idx="2">
                    <c:v>Entregado</c:v>
                  </c:pt>
                  <c:pt idx="3">
                    <c:v>Cancelado</c:v>
                  </c:pt>
                </c:lvl>
                <c:lvl>
                  <c:pt idx="0">
                    <c:v>Proveedor ABC</c:v>
                  </c:pt>
                  <c:pt idx="1">
                    <c:v>Proveedor ABC</c:v>
                  </c:pt>
                  <c:pt idx="2">
                    <c:v>Proveedor XYZ</c:v>
                  </c:pt>
                  <c:pt idx="3">
                    <c:v>Proveedor 123</c:v>
                  </c:pt>
                </c:lvl>
              </c:multiLvlStrCache>
            </c:multiLvlStrRef>
          </c:cat>
          <c:val>
            <c:numRef>
              <c:f>Hoja1!B2:B5</c:f>
              <c:numCache>
                <c:formatCode>m/d/yyyy</c:formatCode>
                <c:ptCount val="4"/>
                <c:pt idx="0">
                  <c:v>45293</c:v>
                </c:pt>
                <c:pt idx="1">
                  <c:v>45294</c:v>
                </c:pt>
                <c:pt idx="2">
                  <c:v>45296</c:v>
                </c:pt>
                <c:pt idx="3">
                  <c:v>45297</c:v>
                </c:pt>
              </c:numCache>
            </c:numRef>
          </c:val>
          <c:smooth val="0"/>
          <c:extLst>
            <c:ext xmlns:c16="http://schemas.microsoft.com/office/drawing/2014/chart" uri="{C3380CC4-5D6E-409C-BE32-E72D297353CC}">
              <c16:uniqueId val="{00000005-91C1-470A-8127-60809B3E9647}"/>
            </c:ext>
          </c:extLst>
        </c:ser>
        <c:ser>
          <c:idx val="1"/>
          <c:order val="1"/>
          <c:tx>
            <c:strRef>
              <c:f>{"Entrega"}</c:f>
              <c:strCache>
                <c:ptCount val="1"/>
                <c:pt idx="0">
                  <c:v>Entrega</c:v>
                </c:pt>
              </c:strCache>
            </c:strRef>
          </c:tx>
          <c:spPr>
            <a:ln w="28575" cap="rnd">
              <a:solidFill>
                <a:schemeClr val="accent2"/>
              </a:solidFill>
              <a:round/>
            </a:ln>
            <a:effectLst/>
          </c:spPr>
          <c:marker>
            <c:symbol val="circle"/>
            <c:size val="5"/>
            <c:spPr>
              <a:solidFill>
                <a:srgbClr val="FFC000"/>
              </a:solidFill>
              <a:ln w="9525">
                <a:solidFill>
                  <a:srgbClr val="FFC00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Hoja1!C2:C5,Hoja1!I2:I5</c:f>
              <c:multiLvlStrCache>
                <c:ptCount val="4"/>
                <c:lvl>
                  <c:pt idx="0">
                    <c:v>Entregado</c:v>
                  </c:pt>
                  <c:pt idx="1">
                    <c:v>Retrasado</c:v>
                  </c:pt>
                  <c:pt idx="2">
                    <c:v>Entregado</c:v>
                  </c:pt>
                  <c:pt idx="3">
                    <c:v>Cancelado</c:v>
                  </c:pt>
                </c:lvl>
                <c:lvl>
                  <c:pt idx="0">
                    <c:v>Proveedor ABC</c:v>
                  </c:pt>
                  <c:pt idx="1">
                    <c:v>Proveedor ABC</c:v>
                  </c:pt>
                  <c:pt idx="2">
                    <c:v>Proveedor XYZ</c:v>
                  </c:pt>
                  <c:pt idx="3">
                    <c:v>Proveedor 123</c:v>
                  </c:pt>
                </c:lvl>
              </c:multiLvlStrCache>
            </c:multiLvlStrRef>
          </c:cat>
          <c:val>
            <c:numRef>
              <c:f>Hoja1!H2:H5</c:f>
              <c:numCache>
                <c:formatCode>m/d/yyyy</c:formatCode>
                <c:ptCount val="4"/>
                <c:pt idx="0">
                  <c:v>45297</c:v>
                </c:pt>
                <c:pt idx="1">
                  <c:v>45301</c:v>
                </c:pt>
                <c:pt idx="2">
                  <c:v>45303</c:v>
                </c:pt>
                <c:pt idx="3">
                  <c:v>45311</c:v>
                </c:pt>
              </c:numCache>
            </c:numRef>
          </c:val>
          <c:smooth val="0"/>
          <c:extLst>
            <c:ext xmlns:c16="http://schemas.microsoft.com/office/drawing/2014/chart" uri="{C3380CC4-5D6E-409C-BE32-E72D297353CC}">
              <c16:uniqueId val="{00000006-91C1-470A-8127-60809B3E9647}"/>
            </c:ext>
          </c:extLst>
        </c:ser>
        <c:dLbls>
          <c:showLegendKey val="0"/>
          <c:showVal val="0"/>
          <c:showCatName val="0"/>
          <c:showSerName val="0"/>
          <c:showPercent val="0"/>
          <c:showBubbleSize val="0"/>
        </c:dLbls>
        <c:marker val="1"/>
        <c:smooth val="0"/>
        <c:axId val="1247505415"/>
        <c:axId val="1247511559"/>
      </c:lineChart>
      <c:catAx>
        <c:axId val="12475054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511559"/>
        <c:crosses val="autoZero"/>
        <c:auto val="1"/>
        <c:lblAlgn val="ctr"/>
        <c:lblOffset val="100"/>
        <c:noMultiLvlLbl val="0"/>
      </c:catAx>
      <c:valAx>
        <c:axId val="1247511559"/>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505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2 Análisis de Compras y Proveedores.xlsx]Hoja2!TablaDinámica2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estados de órdenes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Hoja2!$F$3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2C-4263-939D-5846434D8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2C-4263-939D-5846434D8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2C-4263-939D-5846434D8B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Hoja2!$E$4:$E$7</c:f>
              <c:strCache>
                <c:ptCount val="3"/>
                <c:pt idx="0">
                  <c:v>Cancelado</c:v>
                </c:pt>
                <c:pt idx="1">
                  <c:v>Entregado</c:v>
                </c:pt>
                <c:pt idx="2">
                  <c:v>Retrasado</c:v>
                </c:pt>
              </c:strCache>
            </c:strRef>
          </c:cat>
          <c:val>
            <c:numRef>
              <c:f>Hoja2!$F$4:$F$7</c:f>
              <c:numCache>
                <c:formatCode>General</c:formatCode>
                <c:ptCount val="3"/>
                <c:pt idx="0">
                  <c:v>1</c:v>
                </c:pt>
                <c:pt idx="1">
                  <c:v>2</c:v>
                </c:pt>
                <c:pt idx="2">
                  <c:v>1</c:v>
                </c:pt>
              </c:numCache>
            </c:numRef>
          </c:val>
          <c:extLst>
            <c:ext xmlns:c16="http://schemas.microsoft.com/office/drawing/2014/chart" uri="{C3380CC4-5D6E-409C-BE32-E72D297353CC}">
              <c16:uniqueId val="{00000006-422C-4263-939D-5846434D8B0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15</xdr:row>
      <xdr:rowOff>76200</xdr:rowOff>
    </xdr:to>
    <xdr:graphicFrame macro="">
      <xdr:nvGraphicFramePr>
        <xdr:cNvPr id="2" name="Gráfico 1">
          <a:extLst>
            <a:ext uri="{FF2B5EF4-FFF2-40B4-BE49-F238E27FC236}">
              <a16:creationId xmlns:a16="http://schemas.microsoft.com/office/drawing/2014/main" id="{980A075E-DECF-41AC-A7CE-DA6A83E6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180975</xdr:rowOff>
    </xdr:from>
    <xdr:to>
      <xdr:col>16</xdr:col>
      <xdr:colOff>304800</xdr:colOff>
      <xdr:row>15</xdr:row>
      <xdr:rowOff>66675</xdr:rowOff>
    </xdr:to>
    <xdr:graphicFrame macro="">
      <xdr:nvGraphicFramePr>
        <xdr:cNvPr id="3" name="Gráfico 2">
          <a:extLst>
            <a:ext uri="{FF2B5EF4-FFF2-40B4-BE49-F238E27FC236}">
              <a16:creationId xmlns:a16="http://schemas.microsoft.com/office/drawing/2014/main" id="{457C3E31-C30B-C6DB-5851-106734C0BC94}"/>
            </a:ext>
            <a:ext uri="{147F2762-F138-4A5C-976F-8EAC2B608ADB}">
              <a16:predDERef xmlns:a16="http://schemas.microsoft.com/office/drawing/2014/main" pred="{980A075E-DECF-41AC-A7CE-DA6A83E6C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xdr:row>
      <xdr:rowOff>0</xdr:rowOff>
    </xdr:from>
    <xdr:to>
      <xdr:col>25</xdr:col>
      <xdr:colOff>304800</xdr:colOff>
      <xdr:row>15</xdr:row>
      <xdr:rowOff>76200</xdr:rowOff>
    </xdr:to>
    <xdr:graphicFrame macro="">
      <xdr:nvGraphicFramePr>
        <xdr:cNvPr id="4" name="Gráfico 3">
          <a:extLst>
            <a:ext uri="{FF2B5EF4-FFF2-40B4-BE49-F238E27FC236}">
              <a16:creationId xmlns:a16="http://schemas.microsoft.com/office/drawing/2014/main" id="{3D6A17B4-81F5-4458-BBC5-88A4CF60DE2B}"/>
            </a:ext>
            <a:ext uri="{147F2762-F138-4A5C-976F-8EAC2B608ADB}">
              <a16:predDERef xmlns:a16="http://schemas.microsoft.com/office/drawing/2014/main" pred="{457C3E31-C30B-C6DB-5851-106734C0B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5.664047916667" createdVersion="8" refreshedVersion="8" minRefreshableVersion="3" recordCount="4" xr:uid="{03266136-D9D5-4531-ABA3-F746EF227584}">
  <cacheSource type="worksheet">
    <worksheetSource ref="A1:J5" sheet="Hoja1"/>
  </cacheSource>
  <cacheFields count="10">
    <cacheField name="OC_ID" numFmtId="0">
      <sharedItems count="4">
        <s v="OC001"/>
        <s v="OC002"/>
        <s v="OC003"/>
        <s v="OC004"/>
      </sharedItems>
    </cacheField>
    <cacheField name="Fecha_OC" numFmtId="14">
      <sharedItems containsSemiMixedTypes="0" containsNonDate="0" containsDate="1" containsString="0" minDate="2024-01-02T00:00:00" maxDate="2024-01-07T00:00:00"/>
    </cacheField>
    <cacheField name="Proveedor" numFmtId="0">
      <sharedItems count="3">
        <s v="Proveedor ABC"/>
        <s v="Proveedor XYZ"/>
        <s v="Proveedor 123"/>
      </sharedItems>
    </cacheField>
    <cacheField name="Producto" numFmtId="0">
      <sharedItems/>
    </cacheField>
    <cacheField name="Categoria" numFmtId="0">
      <sharedItems count="3">
        <s v="Periféricos"/>
        <s v="Monitores"/>
        <s v="Computo"/>
      </sharedItems>
    </cacheField>
    <cacheField name="Cantidad" numFmtId="0">
      <sharedItems containsSemiMixedTypes="0" containsString="0" containsNumber="1" containsInteger="1" minValue="10" maxValue="100"/>
    </cacheField>
    <cacheField name="Costo_Unit" numFmtId="0">
      <sharedItems containsSemiMixedTypes="0" containsString="0" containsNumber="1" containsInteger="1" minValue="10" maxValue="700"/>
    </cacheField>
    <cacheField name="Fecha_Entrega" numFmtId="14">
      <sharedItems containsSemiMixedTypes="0" containsNonDate="0" containsDate="1" containsString="0" minDate="2024-01-06T00:00:00" maxDate="2024-01-21T00:00:00"/>
    </cacheField>
    <cacheField name="Estado" numFmtId="0">
      <sharedItems count="3">
        <s v="Entregado"/>
        <s v="Retrasado"/>
        <s v="Cancelado"/>
      </sharedItems>
    </cacheField>
    <cacheField name="Costo total" numFmtId="0">
      <sharedItems containsSemiMixedTypes="0" containsString="0" containsNumber="1" containsInteger="1" minValue="750" maxValue="7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d v="2024-01-02T00:00:00"/>
    <x v="0"/>
    <s v="Mouse USB"/>
    <x v="0"/>
    <n v="100"/>
    <n v="10"/>
    <d v="2024-01-06T00:00:00"/>
    <x v="0"/>
    <n v="1000"/>
  </r>
  <r>
    <x v="1"/>
    <d v="2024-01-03T00:00:00"/>
    <x v="0"/>
    <s v="Teclado"/>
    <x v="0"/>
    <n v="50"/>
    <n v="15"/>
    <d v="2024-01-10T00:00:00"/>
    <x v="1"/>
    <n v="750"/>
  </r>
  <r>
    <x v="2"/>
    <d v="2024-01-05T00:00:00"/>
    <x v="1"/>
    <s v="Monitor 24&quot;"/>
    <x v="1"/>
    <n v="20"/>
    <n v="200"/>
    <d v="2024-01-12T00:00:00"/>
    <x v="0"/>
    <n v="4000"/>
  </r>
  <r>
    <x v="3"/>
    <d v="2024-01-06T00:00:00"/>
    <x v="2"/>
    <s v="Laptop"/>
    <x v="2"/>
    <n v="10"/>
    <n v="700"/>
    <d v="2024-01-20T00:00:00"/>
    <x v="2"/>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D2B43-18DA-41D5-BB59-8B03A4809B82}" name="TablaDinámica3" cacheId="11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I3:J6" firstHeaderRow="1" firstDataRow="1" firstDataCol="1" rowPageCount="1" colPageCount="1"/>
  <pivotFields count="10">
    <pivotField compact="0" outline="0" showAll="0"/>
    <pivotField compact="0" numFmtId="14"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numFmtId="14" outline="0" showAll="0"/>
    <pivotField axis="axisPage" compact="0" outline="0" multipleItemSelectionAllowed="1" showAll="0">
      <items count="4">
        <item h="1" x="2"/>
        <item x="0"/>
        <item x="1"/>
        <item t="default"/>
      </items>
    </pivotField>
    <pivotField dataField="1" compact="0" outline="0" showAll="0"/>
  </pivotFields>
  <rowFields count="1">
    <field x="4"/>
  </rowFields>
  <rowItems count="3">
    <i>
      <x v="1"/>
    </i>
    <i>
      <x v="2"/>
    </i>
    <i t="grand">
      <x/>
    </i>
  </rowItems>
  <colItems count="1">
    <i/>
  </colItems>
  <pageFields count="1">
    <pageField fld="8" hier="-1"/>
  </pageFields>
  <dataFields count="1">
    <dataField name="Suma de Costo total" fld="9"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52721-D87F-4925-9AE5-94C7F2DC3C89}" name="TablaDinámica1" cacheId="11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7">
  <location ref="B3:C6" firstHeaderRow="1" firstDataRow="1" firstDataCol="1" rowPageCount="1" colPageCount="1"/>
  <pivotFields count="10">
    <pivotField compact="0" outline="0" showAll="0"/>
    <pivotField compact="0" numFmtId="14"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numFmtId="14" outline="0" showAll="0"/>
    <pivotField axis="axisPage" compact="0" outline="0" multipleItemSelectionAllowed="1" showAll="0">
      <items count="4">
        <item h="1" x="2"/>
        <item x="0"/>
        <item x="1"/>
        <item t="default"/>
      </items>
    </pivotField>
    <pivotField dataField="1" compact="0" outline="0" showAll="0"/>
  </pivotFields>
  <rowFields count="1">
    <field x="2"/>
  </rowFields>
  <rowItems count="3">
    <i>
      <x v="1"/>
    </i>
    <i>
      <x v="2"/>
    </i>
    <i t="grand">
      <x/>
    </i>
  </rowItems>
  <colItems count="1">
    <i/>
  </colItems>
  <pageFields count="1">
    <pageField fld="8" hier="-1"/>
  </pageFields>
  <dataFields count="1">
    <dataField name="Suma de Costo total" fld="9"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72BF8-F7D2-4770-9186-FD6C94CD800B}" name="TablaDinámica2" cacheId="11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2">
  <location ref="E3:F7" firstHeaderRow="1" firstDataRow="1" firstDataCol="1" rowPageCount="1" colPageCount="1"/>
  <pivotFields count="10">
    <pivotField dataField="1" compact="0" outline="0" showAll="0"/>
    <pivotField compact="0" numFmtId="14"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numFmtId="14" outline="0" showAll="0"/>
    <pivotField axis="axisRow" compact="0" outline="0" showAll="0">
      <items count="4">
        <item x="2"/>
        <item x="0"/>
        <item x="1"/>
        <item t="default"/>
      </items>
    </pivotField>
    <pivotField compact="0" outline="0" showAll="0"/>
  </pivotFields>
  <rowFields count="1">
    <field x="8"/>
  </rowFields>
  <rowItems count="4">
    <i>
      <x/>
    </i>
    <i>
      <x v="1"/>
    </i>
    <i>
      <x v="2"/>
    </i>
    <i t="grand">
      <x/>
    </i>
  </rowItems>
  <colItems count="1">
    <i/>
  </colItems>
  <pageFields count="1">
    <pageField fld="2" hier="-1"/>
  </pageFields>
  <dataFields count="1">
    <dataField name="Cuenta de OC_ID" fld="0" subtotal="count" baseField="0" baseItem="0"/>
  </dataFields>
  <chartFormats count="18">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8" count="1" selected="0">
            <x v="0"/>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 chart="8" format="4">
      <pivotArea type="data" outline="0" fieldPosition="0">
        <references count="2">
          <reference field="4294967294" count="1" selected="0">
            <x v="0"/>
          </reference>
          <reference field="8"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8" count="1" selected="0">
            <x v="0"/>
          </reference>
        </references>
      </pivotArea>
    </chartFormat>
    <chartFormat chart="10" format="11">
      <pivotArea type="data" outline="0" fieldPosition="0">
        <references count="2">
          <reference field="4294967294" count="1" selected="0">
            <x v="0"/>
          </reference>
          <reference field="8" count="1" selected="0">
            <x v="1"/>
          </reference>
        </references>
      </pivotArea>
    </chartFormat>
    <chartFormat chart="10" format="12">
      <pivotArea type="data" outline="0" fieldPosition="0">
        <references count="2">
          <reference field="4294967294" count="1" selected="0">
            <x v="0"/>
          </reference>
          <reference field="8"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8" count="1" selected="0">
            <x v="0"/>
          </reference>
        </references>
      </pivotArea>
    </chartFormat>
    <chartFormat chart="11" format="15">
      <pivotArea type="data" outline="0" fieldPosition="0">
        <references count="2">
          <reference field="4294967294" count="1" selected="0">
            <x v="0"/>
          </reference>
          <reference field="8" count="1" selected="0">
            <x v="1"/>
          </reference>
        </references>
      </pivotArea>
    </chartFormat>
    <chartFormat chart="11" format="16">
      <pivotArea type="data" outline="0" fieldPosition="0">
        <references count="2">
          <reference field="4294967294" count="1" selected="0">
            <x v="0"/>
          </reference>
          <reference field="8" count="1" selected="0">
            <x v="2"/>
          </reference>
        </references>
      </pivotArea>
    </chartFormat>
    <chartFormat chart="11" format="17" series="1">
      <pivotArea type="data" outline="0" fieldPosition="0">
        <references count="2">
          <reference field="4294967294" count="1" selected="0">
            <x v="0"/>
          </reference>
          <reference field="2" count="1" selected="0">
            <x v="1"/>
          </reference>
        </references>
      </pivotArea>
    </chartFormat>
    <chartFormat chart="11" format="18" series="1">
      <pivotArea type="data" outline="0" fieldPosition="0">
        <references count="2">
          <reference field="4294967294" count="1" selected="0">
            <x v="0"/>
          </reference>
          <reference field="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8511-0DD7-4CF1-A5E0-8B4B4DF8EB57}">
  <dimension ref="A1:I5"/>
  <sheetViews>
    <sheetView workbookViewId="0">
      <selection activeCell="D8" sqref="D8"/>
    </sheetView>
  </sheetViews>
  <sheetFormatPr defaultRowHeight="15"/>
  <cols>
    <col min="2" max="2" width="11.140625" bestFit="1" customWidth="1"/>
    <col min="3" max="3" width="14" bestFit="1" customWidth="1"/>
    <col min="4" max="4" width="11.5703125" bestFit="1" customWidth="1"/>
    <col min="5" max="5" width="10" bestFit="1" customWidth="1"/>
    <col min="7" max="7" width="10.7109375" bestFit="1" customWidth="1"/>
    <col min="8" max="8" width="14" bestFit="1" customWidth="1"/>
    <col min="9" max="9" width="9.85546875" bestFit="1" customWidth="1"/>
  </cols>
  <sheetData>
    <row r="1" spans="1:9">
      <c r="A1" s="16" t="s">
        <v>0</v>
      </c>
      <c r="B1" s="16" t="s">
        <v>1</v>
      </c>
      <c r="C1" s="16" t="s">
        <v>2</v>
      </c>
      <c r="D1" s="16" t="s">
        <v>3</v>
      </c>
      <c r="E1" s="16" t="s">
        <v>4</v>
      </c>
      <c r="F1" s="16" t="s">
        <v>5</v>
      </c>
      <c r="G1" s="16" t="s">
        <v>6</v>
      </c>
      <c r="H1" s="16" t="s">
        <v>7</v>
      </c>
      <c r="I1" s="16" t="s">
        <v>8</v>
      </c>
    </row>
    <row r="2" spans="1:9">
      <c r="A2" t="s">
        <v>9</v>
      </c>
      <c r="B2" s="17">
        <v>45293</v>
      </c>
      <c r="C2" t="s">
        <v>10</v>
      </c>
      <c r="D2" t="s">
        <v>11</v>
      </c>
      <c r="E2" t="s">
        <v>12</v>
      </c>
      <c r="F2">
        <v>100</v>
      </c>
      <c r="G2">
        <v>10</v>
      </c>
      <c r="H2" s="17">
        <v>45297</v>
      </c>
      <c r="I2" t="s">
        <v>13</v>
      </c>
    </row>
    <row r="3" spans="1:9">
      <c r="A3" t="s">
        <v>14</v>
      </c>
      <c r="B3" s="17">
        <v>45294</v>
      </c>
      <c r="C3" t="s">
        <v>15</v>
      </c>
      <c r="D3" t="s">
        <v>16</v>
      </c>
      <c r="E3" t="s">
        <v>12</v>
      </c>
      <c r="F3">
        <v>50</v>
      </c>
      <c r="G3">
        <v>15</v>
      </c>
      <c r="H3" s="17">
        <v>45301</v>
      </c>
      <c r="I3" t="s">
        <v>17</v>
      </c>
    </row>
    <row r="4" spans="1:9">
      <c r="A4" t="s">
        <v>18</v>
      </c>
      <c r="B4" s="17">
        <v>45296</v>
      </c>
      <c r="C4" t="s">
        <v>19</v>
      </c>
      <c r="D4" t="s">
        <v>20</v>
      </c>
      <c r="E4" t="s">
        <v>21</v>
      </c>
      <c r="F4">
        <v>20</v>
      </c>
      <c r="G4">
        <v>200</v>
      </c>
      <c r="H4" s="17">
        <v>45303</v>
      </c>
      <c r="I4" t="s">
        <v>13</v>
      </c>
    </row>
    <row r="5" spans="1:9">
      <c r="A5" t="s">
        <v>22</v>
      </c>
      <c r="B5" s="17">
        <v>45297</v>
      </c>
      <c r="C5" t="s">
        <v>23</v>
      </c>
      <c r="D5" t="s">
        <v>24</v>
      </c>
      <c r="E5" t="s">
        <v>25</v>
      </c>
      <c r="F5">
        <v>10</v>
      </c>
      <c r="G5">
        <v>700</v>
      </c>
      <c r="H5" s="17">
        <v>45311</v>
      </c>
      <c r="I5"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workbookViewId="0">
      <selection sqref="A1:J5"/>
    </sheetView>
  </sheetViews>
  <sheetFormatPr defaultRowHeight="15.75"/>
  <cols>
    <col min="1" max="1" width="7" style="8" bestFit="1" customWidth="1"/>
    <col min="2" max="2" width="11.85546875" style="8" bestFit="1" customWidth="1"/>
    <col min="3" max="3" width="14.85546875" style="8" bestFit="1" customWidth="1"/>
    <col min="4" max="4" width="12.28515625" style="8" bestFit="1" customWidth="1"/>
    <col min="5" max="5" width="10.5703125" style="8" bestFit="1" customWidth="1"/>
    <col min="6" max="6" width="8.85546875" style="8" bestFit="1" customWidth="1"/>
    <col min="7" max="7" width="11.42578125" style="8" bestFit="1" customWidth="1"/>
    <col min="8" max="8" width="14.85546875" style="8" bestFit="1" customWidth="1"/>
    <col min="9" max="9" width="10.5703125" style="8" bestFit="1" customWidth="1"/>
    <col min="10" max="10" width="10.42578125" style="8" bestFit="1" customWidth="1"/>
    <col min="11" max="16384" width="9.140625" style="8"/>
  </cols>
  <sheetData>
    <row r="1" spans="1:10">
      <c r="A1" s="7" t="s">
        <v>0</v>
      </c>
      <c r="B1" s="7" t="s">
        <v>1</v>
      </c>
      <c r="C1" s="7" t="s">
        <v>2</v>
      </c>
      <c r="D1" s="7" t="s">
        <v>3</v>
      </c>
      <c r="E1" s="7" t="s">
        <v>4</v>
      </c>
      <c r="F1" s="7" t="s">
        <v>5</v>
      </c>
      <c r="G1" s="7" t="s">
        <v>6</v>
      </c>
      <c r="H1" s="7" t="s">
        <v>7</v>
      </c>
      <c r="I1" s="7" t="s">
        <v>8</v>
      </c>
      <c r="J1" s="7" t="s">
        <v>27</v>
      </c>
    </row>
    <row r="2" spans="1:10">
      <c r="A2" s="8" t="s">
        <v>9</v>
      </c>
      <c r="B2" s="9">
        <v>45293</v>
      </c>
      <c r="C2" s="8" t="s">
        <v>10</v>
      </c>
      <c r="D2" s="8" t="s">
        <v>11</v>
      </c>
      <c r="E2" s="8" t="s">
        <v>12</v>
      </c>
      <c r="F2" s="8">
        <v>100</v>
      </c>
      <c r="G2" s="8">
        <v>10</v>
      </c>
      <c r="H2" s="9">
        <v>45297</v>
      </c>
      <c r="I2" s="8" t="s">
        <v>13</v>
      </c>
      <c r="J2" s="8">
        <f>F2*G2</f>
        <v>1000</v>
      </c>
    </row>
    <row r="3" spans="1:10">
      <c r="A3" s="8" t="s">
        <v>14</v>
      </c>
      <c r="B3" s="9">
        <v>45294</v>
      </c>
      <c r="C3" s="8" t="s">
        <v>10</v>
      </c>
      <c r="D3" s="8" t="s">
        <v>16</v>
      </c>
      <c r="E3" s="8" t="s">
        <v>12</v>
      </c>
      <c r="F3" s="8">
        <v>50</v>
      </c>
      <c r="G3" s="8">
        <v>15</v>
      </c>
      <c r="H3" s="9">
        <v>45301</v>
      </c>
      <c r="I3" s="8" t="s">
        <v>17</v>
      </c>
      <c r="J3" s="8">
        <f t="shared" ref="J3:J5" si="0">F3*G3</f>
        <v>750</v>
      </c>
    </row>
    <row r="4" spans="1:10">
      <c r="A4" s="8" t="s">
        <v>18</v>
      </c>
      <c r="B4" s="9">
        <v>45296</v>
      </c>
      <c r="C4" s="8" t="s">
        <v>19</v>
      </c>
      <c r="D4" s="8" t="s">
        <v>20</v>
      </c>
      <c r="E4" s="8" t="s">
        <v>21</v>
      </c>
      <c r="F4" s="8">
        <v>20</v>
      </c>
      <c r="G4" s="8">
        <v>200</v>
      </c>
      <c r="H4" s="9">
        <v>45303</v>
      </c>
      <c r="I4" s="8" t="s">
        <v>13</v>
      </c>
      <c r="J4" s="8">
        <f t="shared" si="0"/>
        <v>4000</v>
      </c>
    </row>
    <row r="5" spans="1:10">
      <c r="A5" s="8" t="s">
        <v>22</v>
      </c>
      <c r="B5" s="9">
        <v>45297</v>
      </c>
      <c r="C5" s="8" t="s">
        <v>23</v>
      </c>
      <c r="D5" s="8" t="s">
        <v>24</v>
      </c>
      <c r="E5" s="8" t="s">
        <v>25</v>
      </c>
      <c r="F5" s="8">
        <v>10</v>
      </c>
      <c r="G5" s="8">
        <v>700</v>
      </c>
      <c r="H5" s="9">
        <v>45311</v>
      </c>
      <c r="I5" s="8" t="s">
        <v>26</v>
      </c>
      <c r="J5" s="8">
        <f t="shared" si="0"/>
        <v>7000</v>
      </c>
    </row>
    <row r="6" spans="1:10">
      <c r="C6" s="10"/>
      <c r="F6" s="10"/>
    </row>
    <row r="7" spans="1:10">
      <c r="C7" s="10"/>
      <c r="F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F217-C98A-4C44-80CC-314F4E025DAA}">
  <sheetPr>
    <tabColor theme="8" tint="-0.499984740745262"/>
  </sheetPr>
  <dimension ref="A1:J13"/>
  <sheetViews>
    <sheetView workbookViewId="0">
      <selection activeCell="B12" sqref="B12"/>
    </sheetView>
  </sheetViews>
  <sheetFormatPr defaultRowHeight="15"/>
  <cols>
    <col min="1" max="1" width="10" bestFit="1" customWidth="1"/>
    <col min="2" max="2" width="14" customWidth="1"/>
    <col min="3" max="3" width="20.42578125" bestFit="1" customWidth="1"/>
    <col min="5" max="5" width="12.5703125" bestFit="1" customWidth="1"/>
    <col min="6" max="6" width="16" bestFit="1" customWidth="1"/>
    <col min="7" max="7" width="14.28515625" bestFit="1" customWidth="1"/>
    <col min="9" max="9" width="12.5703125" bestFit="1" customWidth="1"/>
    <col min="10" max="10" width="20.42578125" bestFit="1" customWidth="1"/>
  </cols>
  <sheetData>
    <row r="1" spans="1:10">
      <c r="A1" s="1"/>
      <c r="B1" s="11" t="s">
        <v>8</v>
      </c>
      <c r="C1" t="s">
        <v>28</v>
      </c>
      <c r="D1" s="2"/>
      <c r="E1" s="11" t="s">
        <v>2</v>
      </c>
      <c r="F1" t="s">
        <v>29</v>
      </c>
      <c r="I1" s="11" t="s">
        <v>8</v>
      </c>
      <c r="J1" t="s">
        <v>28</v>
      </c>
    </row>
    <row r="2" spans="1:10">
      <c r="A2" s="3"/>
      <c r="E2" s="4"/>
      <c r="F2" s="5"/>
    </row>
    <row r="3" spans="1:10">
      <c r="A3" s="3"/>
      <c r="B3" s="11" t="s">
        <v>2</v>
      </c>
      <c r="C3" t="s">
        <v>30</v>
      </c>
      <c r="E3" s="11" t="s">
        <v>8</v>
      </c>
      <c r="F3" t="s">
        <v>31</v>
      </c>
      <c r="I3" s="11" t="s">
        <v>4</v>
      </c>
      <c r="J3" t="s">
        <v>30</v>
      </c>
    </row>
    <row r="4" spans="1:10">
      <c r="A4" s="3"/>
      <c r="B4" t="s">
        <v>10</v>
      </c>
      <c r="C4" s="12">
        <v>1750</v>
      </c>
      <c r="E4" t="s">
        <v>26</v>
      </c>
      <c r="F4" s="12">
        <v>1</v>
      </c>
      <c r="I4" t="s">
        <v>21</v>
      </c>
      <c r="J4" s="12">
        <v>4000</v>
      </c>
    </row>
    <row r="5" spans="1:10">
      <c r="A5" s="6"/>
      <c r="B5" t="s">
        <v>19</v>
      </c>
      <c r="C5" s="12">
        <v>4000</v>
      </c>
      <c r="E5" t="s">
        <v>13</v>
      </c>
      <c r="F5" s="12">
        <v>2</v>
      </c>
      <c r="I5" t="s">
        <v>12</v>
      </c>
      <c r="J5" s="12">
        <v>1750</v>
      </c>
    </row>
    <row r="6" spans="1:10">
      <c r="B6" t="s">
        <v>32</v>
      </c>
      <c r="C6" s="12">
        <v>5750</v>
      </c>
      <c r="E6" t="s">
        <v>17</v>
      </c>
      <c r="F6" s="12">
        <v>1</v>
      </c>
      <c r="I6" t="s">
        <v>32</v>
      </c>
      <c r="J6" s="12">
        <v>5750</v>
      </c>
    </row>
    <row r="7" spans="1:10">
      <c r="E7" t="s">
        <v>32</v>
      </c>
      <c r="F7" s="12">
        <v>4</v>
      </c>
    </row>
    <row r="9" spans="1:10" ht="45.75" customHeight="1">
      <c r="B9" s="13" t="s">
        <v>33</v>
      </c>
      <c r="C9" s="13"/>
      <c r="I9" s="14" t="s">
        <v>34</v>
      </c>
      <c r="J9" s="14"/>
    </row>
    <row r="12" spans="1:10">
      <c r="B12" s="14" t="s">
        <v>35</v>
      </c>
      <c r="C12" s="14"/>
      <c r="D12" s="14"/>
      <c r="E12" s="14"/>
      <c r="F12" s="14"/>
      <c r="G12" s="14"/>
      <c r="H12" s="14"/>
      <c r="I12" s="14"/>
      <c r="J12" s="14"/>
    </row>
    <row r="13" spans="1:10">
      <c r="B13" s="14"/>
      <c r="C13" s="14"/>
      <c r="D13" s="14"/>
      <c r="E13" s="14"/>
      <c r="F13" s="14"/>
      <c r="G13" s="14"/>
      <c r="H13" s="14"/>
      <c r="I13" s="14"/>
      <c r="J13" s="14"/>
    </row>
  </sheetData>
  <mergeCells count="3">
    <mergeCell ref="B9:C9"/>
    <mergeCell ref="I9:J9"/>
    <mergeCell ref="B12:J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F0E5-22E0-4F6C-A67F-7B9D42BD1900}">
  <dimension ref="B18:W20"/>
  <sheetViews>
    <sheetView topLeftCell="Q1" workbookViewId="0">
      <selection activeCell="Z17" sqref="Z17"/>
    </sheetView>
  </sheetViews>
  <sheetFormatPr defaultRowHeight="15"/>
  <sheetData>
    <row r="18" spans="2:23">
      <c r="B18" s="15" t="s">
        <v>36</v>
      </c>
      <c r="C18" s="15"/>
      <c r="D18" s="15"/>
      <c r="E18" s="15"/>
      <c r="F18" s="15"/>
      <c r="G18" s="15"/>
      <c r="H18" s="15"/>
      <c r="I18" s="15"/>
      <c r="J18" s="15"/>
      <c r="K18" s="15"/>
      <c r="L18" s="15"/>
      <c r="M18" s="15"/>
      <c r="N18" s="15"/>
      <c r="O18" s="15"/>
      <c r="P18" s="15"/>
      <c r="Q18" s="15"/>
      <c r="R18" s="15"/>
      <c r="S18" s="15"/>
      <c r="T18" s="15"/>
      <c r="U18" s="15"/>
      <c r="V18" s="15"/>
      <c r="W18" s="15"/>
    </row>
    <row r="19" spans="2:23">
      <c r="B19" s="15"/>
      <c r="C19" s="15"/>
      <c r="D19" s="15"/>
      <c r="E19" s="15"/>
      <c r="F19" s="15"/>
      <c r="G19" s="15"/>
      <c r="H19" s="15"/>
      <c r="I19" s="15"/>
      <c r="J19" s="15"/>
      <c r="K19" s="15"/>
      <c r="L19" s="15"/>
      <c r="M19" s="15"/>
      <c r="N19" s="15"/>
      <c r="O19" s="15"/>
      <c r="P19" s="15"/>
      <c r="Q19" s="15"/>
      <c r="R19" s="15"/>
      <c r="S19" s="15"/>
      <c r="T19" s="15"/>
      <c r="U19" s="15"/>
      <c r="V19" s="15"/>
      <c r="W19" s="15"/>
    </row>
    <row r="20" spans="2:23">
      <c r="B20" s="15"/>
      <c r="C20" s="15"/>
      <c r="D20" s="15"/>
      <c r="E20" s="15"/>
      <c r="F20" s="15"/>
      <c r="G20" s="15"/>
      <c r="H20" s="15"/>
      <c r="I20" s="15"/>
      <c r="J20" s="15"/>
      <c r="K20" s="15"/>
      <c r="L20" s="15"/>
      <c r="M20" s="15"/>
      <c r="N20" s="15"/>
      <c r="O20" s="15"/>
      <c r="P20" s="15"/>
      <c r="Q20" s="15"/>
      <c r="R20" s="15"/>
      <c r="S20" s="15"/>
      <c r="T20" s="15"/>
      <c r="U20" s="15"/>
      <c r="V20" s="15"/>
      <c r="W20" s="15"/>
    </row>
  </sheetData>
  <mergeCells count="1">
    <mergeCell ref="B18:W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Laura Solano</cp:lastModifiedBy>
  <cp:revision/>
  <dcterms:created xsi:type="dcterms:W3CDTF">2026-02-09T22:20:31Z</dcterms:created>
  <dcterms:modified xsi:type="dcterms:W3CDTF">2026-02-12T22:31:41Z</dcterms:modified>
  <cp:category/>
  <cp:contentStatus/>
</cp:coreProperties>
</file>